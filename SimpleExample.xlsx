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8A Solution" sheetId="1" state="visible" r:id="rId3"/>
    <sheet name="2051G Solut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<sst xmlns="http://schemas.openxmlformats.org/spreadsheetml/2006/main" count="52" uniqueCount="26">
  <si>
    <t xml:space="preserve">Ma</t>
  </si>
  <si>
    <t xml:space="preserve">yield:</t>
  </si>
  <si>
    <t xml:space="preserve">https://akk.hu/security/id=A281022A11</t>
  </si>
  <si>
    <t xml:space="preserve">cashflow date</t>
  </si>
  <si>
    <t xml:space="preserve">t</t>
  </si>
  <si>
    <t xml:space="preserve">CF</t>
  </si>
  <si>
    <t xml:space="preserve">Felhalmozott kamat</t>
  </si>
  <si>
    <t xml:space="preserve">CF ahead</t>
  </si>
  <si>
    <t xml:space="preserve">CF dicounted</t>
  </si>
  <si>
    <t xml:space="preserve">Duration</t>
  </si>
  <si>
    <t xml:space="preserve">Rövid név</t>
  </si>
  <si>
    <t xml:space="preserve">2028/A</t>
  </si>
  <si>
    <t xml:space="preserve">Kibocsátás</t>
  </si>
  <si>
    <t xml:space="preserve">Lejárat</t>
  </si>
  <si>
    <t xml:space="preserve">Kamat (%)</t>
  </si>
  <si>
    <t xml:space="preserve">Kamat konvenció</t>
  </si>
  <si>
    <t xml:space="preserve">Act/Act</t>
  </si>
  <si>
    <t xml:space="preserve">Vételi nettó árfolyam</t>
  </si>
  <si>
    <t xml:space="preserve">Felhalmozott kamat:</t>
  </si>
  <si>
    <t xml:space="preserve">Vételi bruttó árfolyam:</t>
  </si>
  <si>
    <t xml:space="preserve">Vételi hozam (ÁKK/ISMA)</t>
  </si>
  <si>
    <t xml:space="preserve">PV:</t>
  </si>
  <si>
    <t xml:space="preserve">Diff [%]:</t>
  </si>
  <si>
    <t xml:space="preserve">https://akk.hu/security/id=A510428G21</t>
  </si>
  <si>
    <t xml:space="preserve">2051/G</t>
  </si>
  <si>
    <t xml:space="preserve">Duration: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</si>
</sst>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#,##0.00"/>
    <numFmt numFmtId="167" formatCode="#,##0.000"/>
    <numFmt numFmtId="168" formatCode="0.00%"/>
    <numFmt numFmtId="169" formatCode="0.0000"/>
    <numFmt numFmtId="170" formatCode="0.00"/>
    <numFmt numFmtId="171" formatCode="#,##0.000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  <font>
      <sz val="10"/>
      <name val="Times New Roman"/>
      <family val="1"/>
      <charset val="238"/>
    </font>
    <font>
      <sz val="10"/>
      <color rgb="FF0000FF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rgb="FFFFFF38"/>
        <bgColor rgb="FFFFFF00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kk.hu/security/id=A510428G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3.01"/>
    <col collapsed="false" customWidth="true" hidden="false" outlineLevel="0" max="4" min="4" style="0" width="12.7"/>
  </cols>
  <sheetData>
    <row r="1" customFormat="false" ht="12.8" hidden="false" customHeight="false" outlineLevel="0" collapsed="false">
      <c r="A1" s="0" t="s">
        <v>0</v>
      </c>
      <c r="B1" s="1" t="n">
        <v>46027</v>
      </c>
      <c r="H1" s="0" t="s">
        <v>1</v>
      </c>
      <c r="I1" s="2" t="n">
        <v>6.6</v>
      </c>
      <c r="J1" s="3" t="n">
        <v>7.6</v>
      </c>
    </row>
    <row r="3" customFormat="false" ht="12.8" hidden="false" customHeight="false" outlineLevel="0" collapsed="false">
      <c r="A3" s="0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8</v>
      </c>
      <c r="K3" s="0" t="s">
        <v>9</v>
      </c>
    </row>
    <row r="4" customFormat="false" ht="12.8" hidden="false" customHeight="false" outlineLevel="0" collapsed="false">
      <c r="D4" s="5" t="n">
        <f aca="false">+DATE(YEAR(B6),10,22)</f>
        <v>40838</v>
      </c>
      <c r="E4" s="6" t="n">
        <f aca="false">+YEARFRAC($B$1,D4,1)*IF($B$1&gt;D4,-1,1)</f>
        <v>-14.2067077344285</v>
      </c>
      <c r="F4" s="6" t="n">
        <f aca="false">+_xlfn.ORG.LIBREOFFICE.ROUNDSIG(YEARFRAC(B6,D4,1)*$B$8,3)</f>
        <v>4.33</v>
      </c>
      <c r="G4" s="7" t="n">
        <f aca="false">+IF(AND($B$1&gt;=B6,$B$1&lt;D4),YEARFRAC($B$1,B6,1)*$B$8,0)</f>
        <v>0</v>
      </c>
      <c r="H4" s="6" t="n">
        <f aca="false">+F4*IF(D4&gt;$B$1,1,0)</f>
        <v>0</v>
      </c>
      <c r="I4" s="8" t="n">
        <f aca="false">+IF($E4&lt;0,0,$H4/(1+I$1/100)^$E4)</f>
        <v>0</v>
      </c>
      <c r="J4" s="8" t="n">
        <f aca="false">+IF($E4&lt;0,0,$H4/(1+J$1/100)^$E4)</f>
        <v>0</v>
      </c>
      <c r="K4" s="0" t="n">
        <f aca="false">+J4*E4/(1+$I$1/100)/$I$23</f>
        <v>-0</v>
      </c>
    </row>
    <row r="5" customFormat="false" ht="12.8" hidden="false" customHeight="false" outlineLevel="0" collapsed="false">
      <c r="A5" s="4" t="s">
        <v>10</v>
      </c>
      <c r="B5" s="9" t="s">
        <v>11</v>
      </c>
      <c r="D5" s="5" t="n">
        <f aca="false">+DATE(YEAR(D4)+1,10,22)</f>
        <v>41204</v>
      </c>
      <c r="E5" s="6" t="n">
        <f aca="false">+YEARFRAC($B$1,D5,1)*IF($B$1&gt;D5,-1,1)</f>
        <v>-13.2040518342763</v>
      </c>
      <c r="F5" s="6" t="n">
        <f aca="false">+_xlfn.ORG.LIBREOFFICE.ROUNDSIG(YEARFRAC(D4,D5,1)*$B$8,3)+IF(D5=$B$7,100,0)</f>
        <v>6.75</v>
      </c>
      <c r="G5" s="7" t="n">
        <f aca="false">+IF(AND($B$1&gt;=D4,$B$1&lt;D5),YEARFRAC($B$1,D4,1)*$B$8,0)</f>
        <v>0</v>
      </c>
      <c r="H5" s="6" t="n">
        <f aca="false">+F5*IF(D5&gt;$B$1,1,0)</f>
        <v>0</v>
      </c>
      <c r="I5" s="8" t="n">
        <f aca="false">+IF($E5&lt;0,0,$H5/(1+I$1/100)^$E5)</f>
        <v>0</v>
      </c>
      <c r="J5" s="8" t="n">
        <f aca="false">+IF($E5&lt;0,0,$H5/(1+J$1/100)^$E5)</f>
        <v>0</v>
      </c>
      <c r="K5" s="0" t="n">
        <f aca="false">+J5*E5/(1+$I$1/100)/$I$23</f>
        <v>-0</v>
      </c>
    </row>
    <row r="6" customFormat="false" ht="12.8" hidden="false" customHeight="false" outlineLevel="0" collapsed="false">
      <c r="A6" s="4" t="s">
        <v>12</v>
      </c>
      <c r="B6" s="1" t="n">
        <v>40604</v>
      </c>
      <c r="D6" s="5" t="n">
        <f aca="false">+DATE(YEAR(D5)+1,10,22)</f>
        <v>41569</v>
      </c>
      <c r="E6" s="6" t="n">
        <f aca="false">+YEARFRAC($B$1,D6,1)*IF($B$1&gt;D6,-1,1)</f>
        <v>-12.2065323684725</v>
      </c>
      <c r="F6" s="6" t="n">
        <f aca="false">+_xlfn.ORG.LIBREOFFICE.ROUNDSIG(YEARFRAC(D5,D6,1)*$B$8,3)+IF(D6=$B$7,100,0)</f>
        <v>6.75</v>
      </c>
      <c r="G6" s="7" t="n">
        <f aca="false">+IF(AND($B$1&gt;=D5,$B$1&lt;D6),YEARFRAC($B$1,D5,1)*$B$8,0)</f>
        <v>0</v>
      </c>
      <c r="H6" s="6" t="n">
        <f aca="false">+F6*IF(D6&gt;$B$1,1,0)</f>
        <v>0</v>
      </c>
      <c r="I6" s="8" t="n">
        <f aca="false">+IF($E6&lt;0,0,$H6/(1+I$1/100)^$E6)</f>
        <v>0</v>
      </c>
      <c r="J6" s="8" t="n">
        <f aca="false">+IF($E6&lt;0,0,$H6/(1+J$1/100)^$E6)</f>
        <v>0</v>
      </c>
      <c r="K6" s="0" t="n">
        <f aca="false">+J6*E6/(1+$I$1/100)/$I$23</f>
        <v>-0</v>
      </c>
    </row>
    <row r="7" customFormat="false" ht="12.8" hidden="false" customHeight="false" outlineLevel="0" collapsed="false">
      <c r="A7" s="4" t="s">
        <v>13</v>
      </c>
      <c r="B7" s="1" t="n">
        <v>47048</v>
      </c>
      <c r="D7" s="5" t="n">
        <f aca="false">+DATE(YEAR(D6)+1,10,22)</f>
        <v>41934</v>
      </c>
      <c r="E7" s="6" t="n">
        <f aca="false">+YEARFRAC($B$1,D7,1)*IF($B$1&gt;D7,-1,1)</f>
        <v>-11.2066133108677</v>
      </c>
      <c r="F7" s="6" t="n">
        <f aca="false">+_xlfn.ORG.LIBREOFFICE.ROUNDSIG(YEARFRAC(D6,D7,1)*$B$8,3)+IF(D7=$B$7,100,0)</f>
        <v>6.75</v>
      </c>
      <c r="G7" s="7" t="n">
        <f aca="false">+IF(AND($B$1&gt;=D6,$B$1&lt;D7),YEARFRAC($B$1,D6,1)*$B$8,0)</f>
        <v>0</v>
      </c>
      <c r="H7" s="6" t="n">
        <f aca="false">+F7*IF(D7&gt;$B$1,1,0)</f>
        <v>0</v>
      </c>
      <c r="I7" s="8" t="n">
        <f aca="false">+IF($E7&lt;0,0,$H7/(1+I$1/100)^$E7)</f>
        <v>0</v>
      </c>
      <c r="J7" s="8" t="n">
        <f aca="false">+IF($E7&lt;0,0,$H7/(1+J$1/100)^$E7)</f>
        <v>0</v>
      </c>
      <c r="K7" s="0" t="n">
        <f aca="false">+J7*E7/(1+$I$1/100)/$I$23</f>
        <v>-0</v>
      </c>
    </row>
    <row r="8" customFormat="false" ht="12.8" hidden="false" customHeight="false" outlineLevel="0" collapsed="false">
      <c r="A8" s="4" t="s">
        <v>14</v>
      </c>
      <c r="B8" s="9" t="n">
        <v>6.75</v>
      </c>
      <c r="D8" s="10" t="n">
        <f aca="false">+DATE(YEAR(D7)+1,10,22)</f>
        <v>42299</v>
      </c>
      <c r="E8" s="11" t="n">
        <f aca="false">+YEARFRAC($B$1,D8,1)*IF($B$1&gt;D8,-1,1)</f>
        <v>-10.2067077344285</v>
      </c>
      <c r="F8" s="11" t="n">
        <f aca="false">+_xlfn.ORG.LIBREOFFICE.ROUNDSIG(YEARFRAC(D7,D8,1)*$B$8,3)+IF(D8=$B$7,100,0)</f>
        <v>6.75</v>
      </c>
      <c r="G8" s="12" t="n">
        <f aca="false">+IF(AND($B$1&gt;=D7,$B$1&lt;D8),YEARFRAC($B$1,D7,1)*$B$8,0)</f>
        <v>0</v>
      </c>
      <c r="H8" s="11" t="n">
        <f aca="false">+F8*IF(D8&gt;$B$1,1,0)</f>
        <v>0</v>
      </c>
      <c r="I8" s="8" t="n">
        <f aca="false">+IF($E8&lt;0,0,$H8/(1+I$1/100)^$E8)</f>
        <v>0</v>
      </c>
      <c r="J8" s="8" t="n">
        <f aca="false">+IF($E8&lt;0,0,$H8/(1+J$1/100)^$E8)</f>
        <v>0</v>
      </c>
      <c r="K8" s="0" t="n">
        <f aca="false">+J8*E8/(1+$I$1/100)/$I$23</f>
        <v>-0</v>
      </c>
    </row>
    <row r="9" customFormat="false" ht="12.8" hidden="false" customHeight="false" outlineLevel="0" collapsed="false">
      <c r="A9" s="4" t="s">
        <v>15</v>
      </c>
      <c r="B9" s="9" t="s">
        <v>16</v>
      </c>
      <c r="D9" s="10" t="n">
        <f aca="false">+DATE(YEAR(D8)+1,10,22)</f>
        <v>42665</v>
      </c>
      <c r="E9" s="11" t="n">
        <f aca="false">+YEARFRAC($B$1,D9,1)*IF($B$1&gt;D9,-1,1)</f>
        <v>-9.20408163265306</v>
      </c>
      <c r="F9" s="11" t="n">
        <f aca="false">+_xlfn.ORG.LIBREOFFICE.ROUNDSIG(YEARFRAC(D8,D9,1)*$B$8,3)+IF(D9=$B$7,100,0)</f>
        <v>6.75</v>
      </c>
      <c r="G9" s="12" t="n">
        <f aca="false">+IF(AND($B$1&gt;=D8,$B$1&lt;D9),YEARFRAC($B$1,D8,1)*$B$8,0)</f>
        <v>0</v>
      </c>
      <c r="H9" s="11" t="n">
        <f aca="false">+F9*IF(D9&gt;$B$1,1,0)</f>
        <v>0</v>
      </c>
      <c r="I9" s="8" t="n">
        <f aca="false">+IF($E9&lt;0,0,$H9/(1+I$1/100)^$E9)</f>
        <v>0</v>
      </c>
      <c r="J9" s="8" t="n">
        <f aca="false">+IF($E9&lt;0,0,$H9/(1+J$1/100)^$E9)</f>
        <v>0</v>
      </c>
      <c r="K9" s="0" t="n">
        <f aca="false">+J9*E9/(1+$I$1/100)/$I$23</f>
        <v>-0</v>
      </c>
    </row>
    <row r="10" customFormat="false" ht="12.8" hidden="false" customHeight="false" outlineLevel="0" collapsed="false">
      <c r="A10" s="4"/>
      <c r="D10" s="10" t="n">
        <f aca="false">+DATE(YEAR(D9)+1,10,22)</f>
        <v>43030</v>
      </c>
      <c r="E10" s="11" t="n">
        <f aca="false">+YEARFRAC($B$1,D10,1)*IF($B$1&gt;D10,-1,1)</f>
        <v>-8.20646221248631</v>
      </c>
      <c r="F10" s="11" t="n">
        <f aca="false">+_xlfn.ORG.LIBREOFFICE.ROUNDSIG(YEARFRAC(D9,D10,1)*$B$8,3)+IF(D10=$B$7,100,0)</f>
        <v>6.75</v>
      </c>
      <c r="G10" s="12" t="n">
        <f aca="false">+IF(AND($B$1&gt;=D9,$B$1&lt;D10),YEARFRAC($B$1,D9,1)*$B$8,0)</f>
        <v>0</v>
      </c>
      <c r="H10" s="11" t="n">
        <f aca="false">+F10*IF(D10&gt;$B$1,1,0)</f>
        <v>0</v>
      </c>
      <c r="I10" s="8" t="n">
        <f aca="false">+IF($E10&lt;0,0,$H10/(1+I$1/100)^$E10)</f>
        <v>0</v>
      </c>
      <c r="J10" s="8" t="n">
        <f aca="false">+IF($E10&lt;0,0,$H10/(1+J$1/100)^$E10)</f>
        <v>0</v>
      </c>
      <c r="K10" s="0" t="n">
        <f aca="false">+J10*E10/(1+$I$1/100)/$I$23</f>
        <v>-0</v>
      </c>
    </row>
    <row r="11" customFormat="false" ht="12.8" hidden="false" customHeight="false" outlineLevel="0" collapsed="false">
      <c r="A11" s="4"/>
      <c r="D11" s="10" t="n">
        <f aca="false">+DATE(YEAR(D10)+1,10,22)</f>
        <v>43395</v>
      </c>
      <c r="E11" s="11" t="n">
        <f aca="false">+YEARFRAC($B$1,D11,1)*IF($B$1&gt;D11,-1,1)</f>
        <v>-7.20657134164892</v>
      </c>
      <c r="F11" s="11" t="n">
        <f aca="false">+_xlfn.ORG.LIBREOFFICE.ROUNDSIG(YEARFRAC(D10,D11,1)*$B$8,3)+IF(D11=$B$7,100,0)</f>
        <v>6.75</v>
      </c>
      <c r="G11" s="12" t="n">
        <f aca="false">+IF(AND($B$1&gt;=D10,$B$1&lt;D11),YEARFRAC($B$1,D10,1)*$B$8,0)</f>
        <v>0</v>
      </c>
      <c r="H11" s="11" t="n">
        <f aca="false">+F11*IF(D11&gt;$B$1,1,0)</f>
        <v>0</v>
      </c>
      <c r="I11" s="8" t="n">
        <f aca="false">+IF($E11&lt;0,0,$H11/(1+I$1/100)^$E11)</f>
        <v>0</v>
      </c>
      <c r="J11" s="8" t="n">
        <f aca="false">+IF($E11&lt;0,0,$H11/(1+J$1/100)^$E11)</f>
        <v>0</v>
      </c>
      <c r="K11" s="0" t="n">
        <f aca="false">+J11*E11/(1+$I$1/100)/$I$23</f>
        <v>-0</v>
      </c>
    </row>
    <row r="12" customFormat="false" ht="12.8" hidden="false" customHeight="false" outlineLevel="0" collapsed="false">
      <c r="A12" s="4"/>
      <c r="D12" s="10" t="n">
        <f aca="false">+DATE(YEAR(D11)+1,10,22)</f>
        <v>43760</v>
      </c>
      <c r="E12" s="11" t="n">
        <f aca="false">+YEARFRAC($B$1,D12,1)*IF($B$1&gt;D12,-1,1)</f>
        <v>-6.20670773442847</v>
      </c>
      <c r="F12" s="11" t="n">
        <f aca="false">+_xlfn.ORG.LIBREOFFICE.ROUNDSIG(YEARFRAC(D11,D12,1)*$B$8,3)+IF(D12=$B$7,100,0)</f>
        <v>6.75</v>
      </c>
      <c r="G12" s="12" t="n">
        <f aca="false">+IF(AND($B$1&gt;=D11,$B$1&lt;D12),YEARFRAC($B$1,D11,1)*$B$8,0)</f>
        <v>0</v>
      </c>
      <c r="H12" s="11" t="n">
        <f aca="false">+F12*IF(D12&gt;$B$1,1,0)</f>
        <v>0</v>
      </c>
      <c r="I12" s="8" t="n">
        <f aca="false">+IF($E12&lt;0,0,$H12/(1+I$1/100)^$E12)</f>
        <v>0</v>
      </c>
      <c r="J12" s="8" t="n">
        <f aca="false">+IF($E12&lt;0,0,$H12/(1+J$1/100)^$E12)</f>
        <v>0</v>
      </c>
      <c r="K12" s="0" t="n">
        <f aca="false">+J12*E12/(1+$I$1/100)/$I$23</f>
        <v>-0</v>
      </c>
    </row>
    <row r="13" customFormat="false" ht="12.8" hidden="false" customHeight="false" outlineLevel="0" collapsed="false">
      <c r="A13" s="4" t="s">
        <v>17</v>
      </c>
      <c r="B13" s="13" t="n">
        <v>100.3367</v>
      </c>
      <c r="D13" s="10" t="n">
        <f aca="false">+DATE(YEAR(D12)+1,10,22)</f>
        <v>44126</v>
      </c>
      <c r="E13" s="11" t="n">
        <f aca="false">+YEARFRAC($B$1,D13,1)*IF($B$1&gt;D13,-1,1)</f>
        <v>-5.20414548298788</v>
      </c>
      <c r="F13" s="11" t="n">
        <f aca="false">+_xlfn.ORG.LIBREOFFICE.ROUNDSIG(YEARFRAC(D12,D13,1)*$B$8,3)+IF(D13=$B$7,100,0)</f>
        <v>6.75</v>
      </c>
      <c r="G13" s="12" t="n">
        <f aca="false">+IF(AND($B$1&gt;=D12,$B$1&lt;D13),YEARFRAC($B$1,D12,1)*$B$8,0)</f>
        <v>0</v>
      </c>
      <c r="H13" s="11" t="n">
        <f aca="false">+F13*IF(D13&gt;$B$1,1,0)</f>
        <v>0</v>
      </c>
      <c r="I13" s="8" t="n">
        <f aca="false">+IF($E13&lt;0,0,$H13/(1+I$1/100)^$E13)</f>
        <v>0</v>
      </c>
      <c r="J13" s="8" t="n">
        <f aca="false">+IF($E13&lt;0,0,$H13/(1+J$1/100)^$E13)</f>
        <v>0</v>
      </c>
      <c r="K13" s="0" t="n">
        <f aca="false">+J13*E13/(1+$I$1/100)/$I$23</f>
        <v>-0</v>
      </c>
    </row>
    <row r="14" customFormat="false" ht="12.8" hidden="false" customHeight="false" outlineLevel="0" collapsed="false">
      <c r="A14" s="4" t="s">
        <v>18</v>
      </c>
      <c r="B14" s="9" t="n">
        <v>1.387</v>
      </c>
      <c r="D14" s="10" t="n">
        <f aca="false">+DATE(YEAR(D13)+1,10,22)</f>
        <v>44491</v>
      </c>
      <c r="E14" s="11" t="n">
        <f aca="false">+YEARFRAC($B$1,D14,1)*IF($B$1&gt;D14,-1,1)</f>
        <v>-4.20629849383843</v>
      </c>
      <c r="F14" s="11" t="n">
        <f aca="false">+_xlfn.ORG.LIBREOFFICE.ROUNDSIG(YEARFRAC(D13,D14,1)*$B$8,3)+IF(D14=$B$7,100,0)</f>
        <v>6.75</v>
      </c>
      <c r="G14" s="12" t="n">
        <f aca="false">+IF(AND($B$1&gt;=D13,$B$1&lt;D14),YEARFRAC($B$1,D13,1)*$B$8,0)</f>
        <v>0</v>
      </c>
      <c r="H14" s="11" t="n">
        <f aca="false">+F14*IF(D14&gt;$B$1,1,0)</f>
        <v>0</v>
      </c>
      <c r="I14" s="8" t="n">
        <f aca="false">+IF($E14&lt;0,0,$H14/(1+I$1/100)^$E14)</f>
        <v>0</v>
      </c>
      <c r="J14" s="8" t="n">
        <f aca="false">+IF($E14&lt;0,0,$H14/(1+J$1/100)^$E14)</f>
        <v>0</v>
      </c>
      <c r="K14" s="0" t="n">
        <f aca="false">+J14*E14/(1+$I$1/100)/$I$23</f>
        <v>-0</v>
      </c>
    </row>
    <row r="15" customFormat="false" ht="12.8" hidden="false" customHeight="false" outlineLevel="0" collapsed="false">
      <c r="A15" s="4" t="s">
        <v>19</v>
      </c>
      <c r="B15" s="0" t="n">
        <f aca="false">+B14+B13</f>
        <v>101.7237</v>
      </c>
      <c r="D15" s="10" t="n">
        <f aca="false">+DATE(YEAR(D14)+1,10,22)</f>
        <v>44856</v>
      </c>
      <c r="E15" s="11" t="n">
        <f aca="false">+YEARFRAC($B$1,D15,1)*IF($B$1&gt;D15,-1,1)</f>
        <v>-3.20646221248631</v>
      </c>
      <c r="F15" s="11" t="n">
        <f aca="false">+_xlfn.ORG.LIBREOFFICE.ROUNDSIG(YEARFRAC(D14,D15,1)*$B$8,3)+IF(D15=$B$7,100,0)</f>
        <v>6.75</v>
      </c>
      <c r="G15" s="12" t="n">
        <f aca="false">+IF(AND($B$1&gt;=D14,$B$1&lt;D15),YEARFRAC($B$1,D14,1)*$B$8,0)</f>
        <v>0</v>
      </c>
      <c r="H15" s="11" t="n">
        <f aca="false">+F15*IF(D15&gt;$B$1,1,0)</f>
        <v>0</v>
      </c>
      <c r="I15" s="8" t="n">
        <f aca="false">+IF($E15&lt;0,0,$H15/(1+I$1/100)^$E15)</f>
        <v>0</v>
      </c>
      <c r="J15" s="8" t="n">
        <f aca="false">+IF($E15&lt;0,0,$H15/(1+J$1/100)^$E15)</f>
        <v>0</v>
      </c>
      <c r="K15" s="0" t="n">
        <f aca="false">+J15*E15/(1+$I$1/100)/$I$23</f>
        <v>-0</v>
      </c>
    </row>
    <row r="16" customFormat="false" ht="12.8" hidden="false" customHeight="false" outlineLevel="0" collapsed="false">
      <c r="A16" s="4" t="s">
        <v>20</v>
      </c>
      <c r="B16" s="9" t="n">
        <v>6.6</v>
      </c>
      <c r="D16" s="10" t="n">
        <f aca="false">+DATE(YEAR(D15)+1,10,22)</f>
        <v>45221</v>
      </c>
      <c r="E16" s="11" t="n">
        <f aca="false">+YEARFRAC($B$1,D16,1)*IF($B$1&gt;D16,-1,1)</f>
        <v>-2.20670773442847</v>
      </c>
      <c r="F16" s="11" t="n">
        <f aca="false">+_xlfn.ORG.LIBREOFFICE.ROUNDSIG(YEARFRAC(D15,D16,1)*$B$8,3)+IF(D16=$B$7,100,0)</f>
        <v>6.75</v>
      </c>
      <c r="G16" s="12" t="n">
        <f aca="false">+IF(AND($B$1&gt;=D15,$B$1&lt;D16),YEARFRAC($B$1,D15,1)*$B$8,0)</f>
        <v>0</v>
      </c>
      <c r="H16" s="11" t="n">
        <f aca="false">+F16*IF(D16&gt;$B$1,1,0)</f>
        <v>0</v>
      </c>
      <c r="I16" s="8" t="n">
        <f aca="false">+IF($E16&lt;0,0,$H16/(1+I$1/100)^$E16)</f>
        <v>0</v>
      </c>
      <c r="J16" s="8" t="n">
        <f aca="false">+IF($E16&lt;0,0,$H16/(1+J$1/100)^$E16)</f>
        <v>0</v>
      </c>
      <c r="K16" s="0" t="n">
        <f aca="false">+J16*E16/(1+$I$1/100)/$I$23</f>
        <v>-0</v>
      </c>
    </row>
    <row r="17" customFormat="false" ht="12.8" hidden="false" customHeight="false" outlineLevel="0" collapsed="false">
      <c r="D17" s="10" t="n">
        <f aca="false">+DATE(YEAR(D16)+1,10,22)</f>
        <v>45587</v>
      </c>
      <c r="E17" s="11" t="n">
        <f aca="false">+YEARFRAC($B$1,D17,1)*IF($B$1&gt;D17,-1,1)</f>
        <v>-1.2043795620438</v>
      </c>
      <c r="F17" s="11" t="n">
        <f aca="false">+_xlfn.ORG.LIBREOFFICE.ROUNDSIG(YEARFRAC(D16,D17,1)*$B$8,3)+IF(D17=$B$7,100,0)</f>
        <v>6.75</v>
      </c>
      <c r="G17" s="12" t="n">
        <f aca="false">+IF(AND($B$1&gt;=D16,$B$1&lt;D17),YEARFRAC($B$1,D16,1)*$B$8,0)</f>
        <v>0</v>
      </c>
      <c r="H17" s="11" t="n">
        <f aca="false">+F17*IF(D17&gt;$B$1,1,0)</f>
        <v>0</v>
      </c>
      <c r="I17" s="8" t="n">
        <f aca="false">+IF($E17&lt;0,0,$H17/(1+I$1/100)^$E17)</f>
        <v>0</v>
      </c>
      <c r="J17" s="8" t="n">
        <f aca="false">+IF($E17&lt;0,0,$H17/(1+J$1/100)^$E17)</f>
        <v>0</v>
      </c>
      <c r="K17" s="0" t="n">
        <f aca="false">+J17*E17/(1+$I$1/100)/$I$23</f>
        <v>-0</v>
      </c>
    </row>
    <row r="18" customFormat="false" ht="12.8" hidden="false" customHeight="false" outlineLevel="0" collapsed="false">
      <c r="D18" s="10" t="n">
        <f aca="false">+DATE(YEAR(D17)+1,10,22)</f>
        <v>45952</v>
      </c>
      <c r="E18" s="11" t="n">
        <f aca="false">+YEARFRAC($B$1,D18,1)*IF($B$1&gt;D18,-1,1)</f>
        <v>-0.205479452054795</v>
      </c>
      <c r="F18" s="11" t="n">
        <f aca="false">+_xlfn.ORG.LIBREOFFICE.ROUNDSIG(YEARFRAC(D17,D18,1)*$B$8,3)+IF(D18=$B$7,100,0)</f>
        <v>6.75</v>
      </c>
      <c r="G18" s="12" t="n">
        <f aca="false">+IF(AND($B$1&gt;=D17,$B$1&lt;D18),YEARFRAC($B$1,D17,1)*$B$8,0)</f>
        <v>0</v>
      </c>
      <c r="H18" s="11" t="n">
        <f aca="false">+F18*IF(D18&gt;$B$1,1,0)</f>
        <v>0</v>
      </c>
      <c r="I18" s="8" t="n">
        <f aca="false">+IF($E18&lt;0,0,$H18/(1+I$1/100)^$E18)</f>
        <v>0</v>
      </c>
      <c r="J18" s="8" t="n">
        <f aca="false">+IF($E18&lt;0,0,$H18/(1+J$1/100)^$E18)</f>
        <v>0</v>
      </c>
      <c r="K18" s="0" t="n">
        <f aca="false">+J18*E18/(1+$I$1/100)/$I$23</f>
        <v>-0</v>
      </c>
    </row>
    <row r="19" customFormat="false" ht="12.8" hidden="false" customHeight="false" outlineLevel="0" collapsed="false">
      <c r="D19" s="10" t="n">
        <f aca="false">+DATE(YEAR(D18)+1,10,22)</f>
        <v>46317</v>
      </c>
      <c r="E19" s="11" t="n">
        <f aca="false">+YEARFRAC($B$1,D19,1)*IF($B$1&gt;D19,-1,1)</f>
        <v>0.794520547945205</v>
      </c>
      <c r="F19" s="11" t="n">
        <f aca="false">+_xlfn.ORG.LIBREOFFICE.ROUNDSIG(YEARFRAC(D18,D19,1)*$B$8,3)+IF(D19=$B$7,100,0)</f>
        <v>6.75</v>
      </c>
      <c r="G19" s="14" t="n">
        <f aca="false">+IF(AND($B$1&gt;=D18,$B$1&lt;D19),YEARFRAC($B$1,D18,1)*$B$8,0)</f>
        <v>1.38698630136986</v>
      </c>
      <c r="H19" s="11" t="n">
        <f aca="false">+F19*IF(D19&gt;$B$1,1,0)</f>
        <v>6.75</v>
      </c>
      <c r="I19" s="8" t="n">
        <f aca="false">+IF($E19&lt;0,0,$H19/(1+I$1/100)^$E19)</f>
        <v>6.41578945426237</v>
      </c>
      <c r="J19" s="8" t="n">
        <f aca="false">+IF($E19&lt;0,0,$H19/(1+J$1/100)^$E19)</f>
        <v>6.36836973263428</v>
      </c>
      <c r="K19" s="0" t="n">
        <f aca="false">+J19*E19/(1+$I$1/100)/$I$23</f>
        <v>0.0466614764210596</v>
      </c>
    </row>
    <row r="20" customFormat="false" ht="12.8" hidden="false" customHeight="false" outlineLevel="0" collapsed="false">
      <c r="D20" s="10" t="n">
        <f aca="false">+DATE(YEAR(D19)+1,10,22)</f>
        <v>46682</v>
      </c>
      <c r="E20" s="11" t="n">
        <f aca="false">+YEARFRAC($B$1,D20,1)*IF($B$1&gt;D20,-1,1)</f>
        <v>1.79452054794521</v>
      </c>
      <c r="F20" s="11" t="n">
        <f aca="false">+_xlfn.ORG.LIBREOFFICE.ROUNDSIG(YEARFRAC(D19,D20,1)*$B$8,3)+IF(D20=$B$7,100,0)</f>
        <v>6.75</v>
      </c>
      <c r="G20" s="12" t="n">
        <f aca="false">+IF(AND($B$1&gt;=D19,$B$1&lt;D20),YEARFRAC($B$1,D19,1)*$B$8,0)</f>
        <v>0</v>
      </c>
      <c r="H20" s="11" t="n">
        <f aca="false">+F20*IF(D20&gt;$B$1,1,0)</f>
        <v>6.75</v>
      </c>
      <c r="I20" s="8" t="n">
        <f aca="false">+IF($E20&lt;0,0,$H20/(1+I$1/100)^$E20)</f>
        <v>6.01856421600597</v>
      </c>
      <c r="J20" s="8" t="n">
        <f aca="false">+IF($E20&lt;0,0,$H20/(1+J$1/100)^$E20)</f>
        <v>5.91855923107275</v>
      </c>
      <c r="K20" s="0" t="n">
        <f aca="false">+J20*E20/(1+$I$1/100)/$I$23</f>
        <v>0.0979466320208757</v>
      </c>
    </row>
    <row r="21" customFormat="false" ht="12.8" hidden="false" customHeight="false" outlineLevel="0" collapsed="false">
      <c r="D21" s="10" t="n">
        <f aca="false">+DATE(YEAR(D20)+1,10,22)</f>
        <v>47048</v>
      </c>
      <c r="E21" s="11" t="n">
        <f aca="false">+YEARFRAC($B$1,D21,1)*IF($B$1&gt;D21,-1,1)</f>
        <v>2.79470802919708</v>
      </c>
      <c r="F21" s="11" t="n">
        <f aca="false">+_xlfn.ORG.LIBREOFFICE.ROUNDSIG(YEARFRAC(D20,D21,1)*$B$8,3)+IF(D21=$B$7,100,0)</f>
        <v>106.75</v>
      </c>
      <c r="G21" s="12" t="n">
        <f aca="false">+IF(AND($B$1&gt;=D20,$B$1&lt;D21),YEARFRAC($B$1,D20,1)*$B$8,0)</f>
        <v>0</v>
      </c>
      <c r="H21" s="11" t="n">
        <f aca="false">+F21*IF(D21&gt;$B$1,1,0)</f>
        <v>106.75</v>
      </c>
      <c r="I21" s="8" t="n">
        <f aca="false">+IF($E21&lt;0,0,$H21/(1+I$1/100)^$E21)</f>
        <v>89.2883095733584</v>
      </c>
      <c r="J21" s="8" t="n">
        <f aca="false">+IF($E21&lt;0,0,$H21/(1+J$1/100)^$E21)</f>
        <v>86.9885063095567</v>
      </c>
      <c r="K21" s="0" t="n">
        <f aca="false">+J21*E21/(1+$I$1/100)/$I$23</f>
        <v>2.24193692257302</v>
      </c>
    </row>
    <row r="22" customFormat="false" ht="12.8" hidden="false" customHeight="false" outlineLevel="0" collapsed="false">
      <c r="I22" s="0" t="s">
        <v>21</v>
      </c>
      <c r="J22" s="0" t="s">
        <v>21</v>
      </c>
      <c r="K22" s="0" t="s">
        <v>9</v>
      </c>
    </row>
    <row r="23" customFormat="false" ht="12.8" hidden="false" customHeight="false" outlineLevel="0" collapsed="false">
      <c r="I23" s="15" t="n">
        <f aca="false">SUM(I4:I21)</f>
        <v>101.722663243627</v>
      </c>
      <c r="J23" s="15" t="n">
        <f aca="false">SUM(J4:J21)</f>
        <v>99.2754352732638</v>
      </c>
      <c r="K23" s="0" t="n">
        <f aca="false">+SUM(K4:K21)</f>
        <v>2.38654503101495</v>
      </c>
    </row>
    <row r="24" customFormat="false" ht="12.8" hidden="false" customHeight="false" outlineLevel="0" collapsed="false">
      <c r="I24" s="0" t="s">
        <v>22</v>
      </c>
      <c r="J24" s="16" t="n">
        <f aca="false">+(J23-I23)/I23</f>
        <v>-0.0240578440666841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Roman,Normál"&amp;12Oldal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6" activeCellId="0" sqref="K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2.74"/>
    <col collapsed="false" customWidth="true" hidden="false" outlineLevel="0" max="2" min="2" style="0" width="10.48"/>
    <col collapsed="false" customWidth="true" hidden="false" outlineLevel="0" max="4" min="4" style="0" width="13.4"/>
    <col collapsed="false" customWidth="true" hidden="false" outlineLevel="0" max="5" min="5" style="0" width="6.02"/>
    <col collapsed="false" customWidth="true" hidden="false" outlineLevel="0" max="6" min="6" style="0" width="7"/>
    <col collapsed="false" customWidth="true" hidden="false" outlineLevel="0" max="7" min="7" style="0" width="18.54"/>
    <col collapsed="false" customWidth="true" hidden="false" outlineLevel="0" max="8" min="8" style="0" width="9.64"/>
    <col collapsed="false" customWidth="true" hidden="false" outlineLevel="0" max="10" min="9" style="0" width="17.71"/>
    <col collapsed="false" customWidth="true" hidden="false" outlineLevel="0" max="11" min="11" style="0" width="8.95"/>
  </cols>
  <sheetData>
    <row r="1" customFormat="false" ht="12.8" hidden="false" customHeight="false" outlineLevel="0" collapsed="false">
      <c r="A1" s="0" t="s">
        <v>0</v>
      </c>
      <c r="B1" s="1" t="n">
        <v>46027</v>
      </c>
      <c r="H1" s="0" t="s">
        <v>1</v>
      </c>
      <c r="I1" s="3" t="n">
        <v>7.71</v>
      </c>
      <c r="J1" s="3" t="n">
        <v>8.71</v>
      </c>
      <c r="K1" s="11" t="n">
        <f aca="false">+I1</f>
        <v>7.71</v>
      </c>
    </row>
    <row r="3" customFormat="false" ht="12.8" hidden="false" customHeight="false" outlineLevel="0" collapsed="false">
      <c r="A3" s="17" t="s">
        <v>23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8</v>
      </c>
      <c r="K3" s="4" t="s">
        <v>9</v>
      </c>
    </row>
    <row r="4" customFormat="false" ht="12.8" hidden="false" customHeight="false" outlineLevel="0" collapsed="false">
      <c r="D4" s="5" t="n">
        <f aca="false">+DATE(YEAR(B6),4,28)</f>
        <v>44314</v>
      </c>
      <c r="E4" s="6" t="n">
        <f aca="false">+YEARFRAC($B$1,D4,1)*IF($B$1&gt;D4,-1,1)</f>
        <v>-4.69100867183934</v>
      </c>
      <c r="F4" s="6" t="n">
        <f aca="false">+_xlfn.ORG.LIBREOFFICE.ROUNDSIG(YEARFRAC(B6,D4,1)*$B$8,3)</f>
        <v>0</v>
      </c>
      <c r="G4" s="7" t="n">
        <f aca="false">+IF(AND($B$1&gt;=B6,$B$1&lt;D4),YEARFRAC($B$1,B6,1)*$B$8,0)</f>
        <v>0</v>
      </c>
      <c r="H4" s="6" t="n">
        <f aca="false">+F4*IF(D4&gt;$B$1,1,0)</f>
        <v>0</v>
      </c>
      <c r="I4" s="18" t="n">
        <f aca="false">+IF($E4&lt;0,0,$H4/(1+I$1/100)^$E4)</f>
        <v>0</v>
      </c>
      <c r="J4" s="18" t="n">
        <f aca="false">+IF($E4&lt;0,0,$H4/(1+J$1/100)^$E4)</f>
        <v>0</v>
      </c>
      <c r="K4" s="0" t="n">
        <f aca="false">+J4*E4/(1+$I$1/100)/$I$36</f>
        <v>-0</v>
      </c>
    </row>
    <row r="5" customFormat="false" ht="12.8" hidden="false" customHeight="false" outlineLevel="0" collapsed="false">
      <c r="A5" s="4" t="s">
        <v>10</v>
      </c>
      <c r="B5" s="9" t="s">
        <v>24</v>
      </c>
      <c r="D5" s="5" t="n">
        <f aca="false">+DATE(YEAR(D4)+1,4,28)</f>
        <v>44679</v>
      </c>
      <c r="E5" s="6" t="n">
        <f aca="false">+YEARFRAC($B$1,D5,1)*IF($B$1&gt;D5,-1,1)</f>
        <v>-3.69112814895947</v>
      </c>
      <c r="F5" s="6" t="n">
        <f aca="false">+_xlfn.ORG.LIBREOFFICE.ROUNDSIG(YEARFRAC(D4,D5,1)*$B$8,3)+IF(D5=$B$7,100,0)</f>
        <v>4</v>
      </c>
      <c r="G5" s="7" t="n">
        <f aca="false">+IF(AND($B$1&gt;=D4,$B$1&lt;D5),YEARFRAC($B$1,D4,1)*$B$8,0)</f>
        <v>0</v>
      </c>
      <c r="H5" s="6" t="n">
        <f aca="false">+F5*IF(D5&gt;$B$1,1,0)</f>
        <v>0</v>
      </c>
      <c r="I5" s="18" t="n">
        <f aca="false">+IF($E5&lt;0,0,$H5/(1+I$1/100)^$E5)</f>
        <v>0</v>
      </c>
      <c r="J5" s="18" t="n">
        <f aca="false">+IF($E5&lt;0,0,$H5/(1+J$1/100)^$E5)</f>
        <v>0</v>
      </c>
      <c r="K5" s="0" t="n">
        <f aca="false">+J5*E5/(1+$I$1/100)/$I$36</f>
        <v>-0</v>
      </c>
    </row>
    <row r="6" customFormat="false" ht="12.8" hidden="false" customHeight="false" outlineLevel="0" collapsed="false">
      <c r="A6" s="4" t="s">
        <v>12</v>
      </c>
      <c r="B6" s="1" t="n">
        <v>44314</v>
      </c>
      <c r="D6" s="5" t="n">
        <f aca="false">+DATE(YEAR(D5)+1,4,28)</f>
        <v>45044</v>
      </c>
      <c r="E6" s="6" t="n">
        <f aca="false">+YEARFRAC($B$1,D6,1)*IF($B$1&gt;D6,-1,1)</f>
        <v>-2.69130732375086</v>
      </c>
      <c r="F6" s="6" t="n">
        <f aca="false">+_xlfn.ORG.LIBREOFFICE.ROUNDSIG(YEARFRAC(D5,D6,1)*$B$8,3)+IF(D6=$B$7,100,0)</f>
        <v>4</v>
      </c>
      <c r="G6" s="7" t="n">
        <f aca="false">+IF(AND($B$1&gt;=D5,$B$1&lt;D6),YEARFRAC($B$1,D5,1)*$B$8,0)</f>
        <v>0</v>
      </c>
      <c r="H6" s="6" t="n">
        <f aca="false">+F6*IF(D6&gt;$B$1,1,0)</f>
        <v>0</v>
      </c>
      <c r="I6" s="18" t="n">
        <f aca="false">+IF($E6&lt;0,0,$H6/(1+I$1/100)^$E6)</f>
        <v>0</v>
      </c>
      <c r="J6" s="18" t="n">
        <f aca="false">+IF($E6&lt;0,0,$H6/(1+J$1/100)^$E6)</f>
        <v>0</v>
      </c>
      <c r="K6" s="0" t="n">
        <f aca="false">+J6*E6/(1+$I$1/100)/$I$36</f>
        <v>-0</v>
      </c>
    </row>
    <row r="7" customFormat="false" ht="12.8" hidden="false" customHeight="false" outlineLevel="0" collapsed="false">
      <c r="A7" s="4" t="s">
        <v>13</v>
      </c>
      <c r="B7" s="1" t="n">
        <v>55271</v>
      </c>
      <c r="D7" s="5" t="n">
        <f aca="false">+DATE(YEAR(D6)+1,4,28)</f>
        <v>45410</v>
      </c>
      <c r="E7" s="6" t="n">
        <f aca="false">+YEARFRAC($B$1,D7,1)*IF($B$1&gt;D7,-1,1)</f>
        <v>-1.68886861313869</v>
      </c>
      <c r="F7" s="6" t="n">
        <f aca="false">+_xlfn.ORG.LIBREOFFICE.ROUNDSIG(YEARFRAC(D6,D7,1)*$B$8,3)+IF(D7=$B$7,100,0)</f>
        <v>4</v>
      </c>
      <c r="G7" s="7" t="n">
        <f aca="false">+IF(AND($B$1&gt;=D6,$B$1&lt;D7),YEARFRAC($B$1,D6,1)*$B$8,0)</f>
        <v>0</v>
      </c>
      <c r="H7" s="6" t="n">
        <f aca="false">+F7*IF(D7&gt;$B$1,1,0)</f>
        <v>0</v>
      </c>
      <c r="I7" s="18" t="n">
        <f aca="false">+IF($E7&lt;0,0,$H7/(1+I$1/100)^$E7)</f>
        <v>0</v>
      </c>
      <c r="J7" s="18" t="n">
        <f aca="false">+IF($E7&lt;0,0,$H7/(1+J$1/100)^$E7)</f>
        <v>0</v>
      </c>
      <c r="K7" s="0" t="n">
        <f aca="false">+J7*E7/(1+$I$1/100)/$I$36</f>
        <v>-0</v>
      </c>
    </row>
    <row r="8" customFormat="false" ht="12.8" hidden="false" customHeight="false" outlineLevel="0" collapsed="false">
      <c r="A8" s="4" t="s">
        <v>14</v>
      </c>
      <c r="B8" s="19" t="n">
        <v>4</v>
      </c>
      <c r="D8" s="5" t="n">
        <f aca="false">+DATE(YEAR(D7)+1,4,28)</f>
        <v>45775</v>
      </c>
      <c r="E8" s="11" t="n">
        <f aca="false">+YEARFRAC($B$1,D8,1)*IF($B$1&gt;D8,-1,1)</f>
        <v>-0.69041095890411</v>
      </c>
      <c r="F8" s="11" t="n">
        <f aca="false">+_xlfn.ORG.LIBREOFFICE.ROUNDSIG(YEARFRAC(D7,D8,1)*$B$8,3)+IF(D8=$B$7,100,0)</f>
        <v>4</v>
      </c>
      <c r="G8" s="12" t="n">
        <f aca="false">+IF(AND($B$1&gt;=D7,$B$1&lt;D8),YEARFRAC($B$1,D7,1)*$B$8,0)</f>
        <v>0</v>
      </c>
      <c r="H8" s="11" t="n">
        <f aca="false">+F8*IF(D8&gt;$B$1,1,0)</f>
        <v>0</v>
      </c>
      <c r="I8" s="18" t="n">
        <f aca="false">+IF($E8&lt;0,0,$H8/(1+I$1/100)^$E8)</f>
        <v>0</v>
      </c>
      <c r="J8" s="18" t="n">
        <f aca="false">+IF($E8&lt;0,0,$H8/(1+J$1/100)^$E8)</f>
        <v>0</v>
      </c>
      <c r="K8" s="0" t="n">
        <f aca="false">+J8*E8/(1+$I$1/100)/$I$36</f>
        <v>-0</v>
      </c>
    </row>
    <row r="9" customFormat="false" ht="12.8" hidden="false" customHeight="false" outlineLevel="0" collapsed="false">
      <c r="A9" s="4" t="s">
        <v>15</v>
      </c>
      <c r="B9" s="9" t="s">
        <v>16</v>
      </c>
      <c r="D9" s="5" t="n">
        <f aca="false">+DATE(YEAR(D8)+1,4,28)</f>
        <v>46140</v>
      </c>
      <c r="E9" s="11" t="n">
        <f aca="false">+YEARFRAC($B$1,D9,1)*IF($B$1&gt;D9,-1,1)</f>
        <v>0.30958904109589</v>
      </c>
      <c r="F9" s="11" t="n">
        <f aca="false">+_xlfn.ORG.LIBREOFFICE.ROUNDSIG(YEARFRAC(D8,D9,1)*$B$8,3)+IF(D9=$B$7,100,0)</f>
        <v>4</v>
      </c>
      <c r="G9" s="20" t="n">
        <f aca="false">+IF(AND($B$1&gt;=D8,$B$1&lt;D9),YEARFRAC($B$1,D8,1)*$B$8,0)</f>
        <v>2.76164383561644</v>
      </c>
      <c r="H9" s="11" t="n">
        <f aca="false">+F9*IF(D9&gt;$B$1,1,0)</f>
        <v>4</v>
      </c>
      <c r="I9" s="18" t="n">
        <f aca="false">+IF($E9&lt;0,0,$H9/(1+I$1/100)^$E9)</f>
        <v>3.90907388624392</v>
      </c>
      <c r="J9" s="18" t="n">
        <f aca="false">+IF($E9&lt;0,0,$H9/(1+J$1/100)^$E9)</f>
        <v>3.89790592143002</v>
      </c>
      <c r="K9" s="0" t="n">
        <f aca="false">+J9*E9/(1+$I$1/100)/$I$36</f>
        <v>0.018084289052839</v>
      </c>
    </row>
    <row r="10" customFormat="false" ht="12.8" hidden="false" customHeight="false" outlineLevel="0" collapsed="false">
      <c r="A10" s="4"/>
      <c r="D10" s="5" t="n">
        <f aca="false">+DATE(YEAR(D9)+1,4,28)</f>
        <v>46505</v>
      </c>
      <c r="E10" s="11" t="n">
        <f aca="false">+YEARFRAC($B$1,D10,1)*IF($B$1&gt;D10,-1,1)</f>
        <v>1.30958904109589</v>
      </c>
      <c r="F10" s="11" t="n">
        <f aca="false">+_xlfn.ORG.LIBREOFFICE.ROUNDSIG(YEARFRAC(D9,D10,1)*$B$8,3)+IF(D10=$B$7,100,0)</f>
        <v>4</v>
      </c>
      <c r="G10" s="12" t="n">
        <f aca="false">+IF(AND($B$1&gt;=D9,$B$1&lt;D10),YEARFRAC($B$1,D9,1)*$B$8,0)</f>
        <v>0</v>
      </c>
      <c r="H10" s="11" t="n">
        <f aca="false">+F10*IF(D10&gt;$B$1,1,0)</f>
        <v>4</v>
      </c>
      <c r="I10" s="18" t="n">
        <f aca="false">+IF($E10&lt;0,0,$H10/(1+I$1/100)^$E10)</f>
        <v>3.62925808768352</v>
      </c>
      <c r="J10" s="18" t="n">
        <f aca="false">+IF($E10&lt;0,0,$H10/(1+J$1/100)^$E10)</f>
        <v>3.58560014849602</v>
      </c>
      <c r="K10" s="0" t="n">
        <f aca="false">+J10*E10/(1+$I$1/100)/$I$36</f>
        <v>0.0703690029188402</v>
      </c>
    </row>
    <row r="11" customFormat="false" ht="12.8" hidden="false" customHeight="false" outlineLevel="0" collapsed="false">
      <c r="A11" s="4"/>
      <c r="D11" s="5" t="n">
        <f aca="false">+DATE(YEAR(D10)+1,4,28)</f>
        <v>46871</v>
      </c>
      <c r="E11" s="11" t="n">
        <f aca="false">+YEARFRAC($B$1,D11,1)*IF($B$1&gt;D11,-1,1)</f>
        <v>2.31021897810219</v>
      </c>
      <c r="F11" s="11" t="n">
        <f aca="false">+_xlfn.ORG.LIBREOFFICE.ROUNDSIG(YEARFRAC(D10,D11,1)*$B$8,3)+IF(D11=$B$7,100,0)</f>
        <v>4</v>
      </c>
      <c r="G11" s="12" t="n">
        <f aca="false">+IF(AND($B$1&gt;=D10,$B$1&lt;D11),YEARFRAC($B$1,D10,1)*$B$8,0)</f>
        <v>0</v>
      </c>
      <c r="H11" s="11" t="n">
        <f aca="false">+F11*IF(D11&gt;$B$1,1,0)</f>
        <v>4</v>
      </c>
      <c r="I11" s="18" t="n">
        <f aca="false">+IF($E11&lt;0,0,$H11/(1+I$1/100)^$E11)</f>
        <v>3.36931416781672</v>
      </c>
      <c r="J11" s="18" t="n">
        <f aca="false">+IF($E11&lt;0,0,$H11/(1+J$1/100)^$E11)</f>
        <v>3.2981432445067</v>
      </c>
      <c r="K11" s="0" t="n">
        <f aca="false">+J11*E11/(1+$I$1/100)/$I$36</f>
        <v>0.114184503865414</v>
      </c>
    </row>
    <row r="12" customFormat="false" ht="12.8" hidden="false" customHeight="false" outlineLevel="0" collapsed="false">
      <c r="A12" s="4"/>
      <c r="D12" s="5" t="n">
        <f aca="false">+DATE(YEAR(D11)+1,4,28)</f>
        <v>47236</v>
      </c>
      <c r="E12" s="11" t="n">
        <f aca="false">+YEARFRAC($B$1,D12,1)*IF($B$1&gt;D12,-1,1)</f>
        <v>3.31006160164271</v>
      </c>
      <c r="F12" s="11" t="n">
        <f aca="false">+_xlfn.ORG.LIBREOFFICE.ROUNDSIG(YEARFRAC(D11,D12,1)*$B$8,3)+IF(D12=$B$7,100,0)</f>
        <v>4</v>
      </c>
      <c r="G12" s="12" t="n">
        <f aca="false">+IF(AND($B$1&gt;=D11,$B$1&lt;D12),YEARFRAC($B$1,D11,1)*$B$8,0)</f>
        <v>0</v>
      </c>
      <c r="H12" s="11" t="n">
        <f aca="false">+F12*IF(D12&gt;$B$1,1,0)</f>
        <v>4</v>
      </c>
      <c r="I12" s="18" t="n">
        <f aca="false">+IF($E12&lt;0,0,$H12/(1+I$1/100)^$E12)</f>
        <v>3.12817152628264</v>
      </c>
      <c r="J12" s="18" t="n">
        <f aca="false">+IF($E12&lt;0,0,$H12/(1+J$1/100)^$E12)</f>
        <v>3.03393118621532</v>
      </c>
      <c r="K12" s="0" t="n">
        <f aca="false">+J12*E12/(1+$I$1/100)/$I$36</f>
        <v>0.150496469003395</v>
      </c>
    </row>
    <row r="13" customFormat="false" ht="12.8" hidden="false" customHeight="false" outlineLevel="0" collapsed="false">
      <c r="A13" s="4" t="s">
        <v>17</v>
      </c>
      <c r="B13" s="13" t="n">
        <v>59.1928</v>
      </c>
      <c r="D13" s="5" t="n">
        <f aca="false">+DATE(YEAR(D12)+1,4,28)</f>
        <v>47601</v>
      </c>
      <c r="E13" s="11" t="n">
        <f aca="false">+YEARFRAC($B$1,D13,1)*IF($B$1&gt;D13,-1,1)</f>
        <v>4.30996714129244</v>
      </c>
      <c r="F13" s="11" t="n">
        <f aca="false">+_xlfn.ORG.LIBREOFFICE.ROUNDSIG(YEARFRAC(D12,D13,1)*$B$8,3)+IF(D13=$B$7,100,0)</f>
        <v>4</v>
      </c>
      <c r="G13" s="12" t="n">
        <f aca="false">+IF(AND($B$1&gt;=D12,$B$1&lt;D13),YEARFRAC($B$1,D12,1)*$B$8,0)</f>
        <v>0</v>
      </c>
      <c r="H13" s="11" t="n">
        <f aca="false">+F13*IF(D13&gt;$B$1,1,0)</f>
        <v>4</v>
      </c>
      <c r="I13" s="18" t="n">
        <f aca="false">+IF($E13&lt;0,0,$H13/(1+I$1/100)^$E13)</f>
        <v>2.90427395128567</v>
      </c>
      <c r="J13" s="18" t="n">
        <f aca="false">+IF($E13&lt;0,0,$H13/(1+J$1/100)^$E13)</f>
        <v>2.79087031566118</v>
      </c>
      <c r="K13" s="0" t="n">
        <f aca="false">+J13*E13/(1+$I$1/100)/$I$36</f>
        <v>0.180259484057436</v>
      </c>
    </row>
    <row r="14" customFormat="false" ht="12.8" hidden="false" customHeight="false" outlineLevel="0" collapsed="false">
      <c r="A14" s="4" t="s">
        <v>18</v>
      </c>
      <c r="B14" s="9" t="n">
        <v>2.7616</v>
      </c>
      <c r="D14" s="5" t="n">
        <f aca="false">+DATE(YEAR(D13)+1,4,28)</f>
        <v>47966</v>
      </c>
      <c r="E14" s="11" t="n">
        <f aca="false">+YEARFRAC($B$1,D14,1)*IF($B$1&gt;D14,-1,1)</f>
        <v>5.30990415335463</v>
      </c>
      <c r="F14" s="11" t="n">
        <f aca="false">+_xlfn.ORG.LIBREOFFICE.ROUNDSIG(YEARFRAC(D13,D14,1)*$B$8,3)+IF(D14=$B$7,100,0)</f>
        <v>4</v>
      </c>
      <c r="G14" s="12" t="n">
        <f aca="false">+IF(AND($B$1&gt;=D13,$B$1&lt;D14),YEARFRAC($B$1,D13,1)*$B$8,0)</f>
        <v>0</v>
      </c>
      <c r="H14" s="11" t="n">
        <f aca="false">+F14*IF(D14&gt;$B$1,1,0)</f>
        <v>4</v>
      </c>
      <c r="I14" s="18" t="n">
        <f aca="false">+IF($E14&lt;0,0,$H14/(1+I$1/100)^$E14)</f>
        <v>2.69639544912549</v>
      </c>
      <c r="J14" s="18" t="n">
        <f aca="false">+IF($E14&lt;0,0,$H14/(1+J$1/100)^$E14)</f>
        <v>2.56727531657892</v>
      </c>
      <c r="K14" s="0" t="n">
        <f aca="false">+J14*E14/(1+$I$1/100)/$I$36</f>
        <v>0.204288366228245</v>
      </c>
    </row>
    <row r="15" customFormat="false" ht="12.8" hidden="false" customHeight="false" outlineLevel="0" collapsed="false">
      <c r="A15" s="4" t="s">
        <v>19</v>
      </c>
      <c r="B15" s="0" t="n">
        <f aca="false">+B14+B13</f>
        <v>61.9544</v>
      </c>
      <c r="D15" s="5" t="n">
        <f aca="false">+DATE(YEAR(D14)+1,4,28)</f>
        <v>48332</v>
      </c>
      <c r="E15" s="11" t="n">
        <f aca="false">+YEARFRAC($B$1,D15,1)*IF($B$1&gt;D15,-1,1)</f>
        <v>6.31012905748925</v>
      </c>
      <c r="F15" s="11" t="n">
        <f aca="false">+_xlfn.ORG.LIBREOFFICE.ROUNDSIG(YEARFRAC(D14,D15,1)*$B$8,3)+IF(D15=$B$7,100,0)</f>
        <v>4</v>
      </c>
      <c r="G15" s="12" t="n">
        <f aca="false">+IF(AND($B$1&gt;=D14,$B$1&lt;D15),YEARFRAC($B$1,D14,1)*$B$8,0)</f>
        <v>0</v>
      </c>
      <c r="H15" s="11" t="n">
        <f aca="false">+F15*IF(D15&gt;$B$1,1,0)</f>
        <v>4</v>
      </c>
      <c r="I15" s="18" t="n">
        <f aca="false">+IF($E15&lt;0,0,$H15/(1+I$1/100)^$E15)</f>
        <v>2.50334268735353</v>
      </c>
      <c r="J15" s="18" t="n">
        <f aca="false">+IF($E15&lt;0,0,$H15/(1+J$1/100)^$E15)</f>
        <v>2.36153720636973</v>
      </c>
      <c r="K15" s="0" t="n">
        <f aca="false">+J15*E15/(1+$I$1/100)/$I$36</f>
        <v>0.223314818309637</v>
      </c>
    </row>
    <row r="16" customFormat="false" ht="12.8" hidden="false" customHeight="false" outlineLevel="0" collapsed="false">
      <c r="A16" s="4" t="s">
        <v>20</v>
      </c>
      <c r="B16" s="9" t="n">
        <v>7.71</v>
      </c>
      <c r="D16" s="5" t="n">
        <f aca="false">+DATE(YEAR(D15)+1,4,28)</f>
        <v>48697</v>
      </c>
      <c r="E16" s="11" t="n">
        <f aca="false">+YEARFRAC($B$1,D16,1)*IF($B$1&gt;D16,-1,1)</f>
        <v>7.31006160164271</v>
      </c>
      <c r="F16" s="11" t="n">
        <f aca="false">+_xlfn.ORG.LIBREOFFICE.ROUNDSIG(YEARFRAC(D15,D16,1)*$B$8,3)+IF(D16=$B$7,100,0)</f>
        <v>4</v>
      </c>
      <c r="G16" s="12" t="n">
        <f aca="false">+IF(AND($B$1&gt;=D15,$B$1&lt;D16),YEARFRAC($B$1,D15,1)*$B$8,0)</f>
        <v>0</v>
      </c>
      <c r="H16" s="11" t="n">
        <f aca="false">+F16*IF(D16&gt;$B$1,1,0)</f>
        <v>4</v>
      </c>
      <c r="I16" s="18" t="n">
        <f aca="false">+IF($E16&lt;0,0,$H16/(1+I$1/100)^$E16)</f>
        <v>2.32416231489642</v>
      </c>
      <c r="J16" s="18" t="n">
        <f aca="false">+IF($E16&lt;0,0,$H16/(1+J$1/100)^$E16)</f>
        <v>2.17233972043165</v>
      </c>
      <c r="K16" s="0" t="n">
        <f aca="false">+J16*E16/(1+$I$1/100)/$I$36</f>
        <v>0.237976069907805</v>
      </c>
    </row>
    <row r="17" customFormat="false" ht="12.8" hidden="false" customHeight="false" outlineLevel="0" collapsed="false">
      <c r="D17" s="5" t="n">
        <f aca="false">+DATE(YEAR(D16)+1,4,28)</f>
        <v>49062</v>
      </c>
      <c r="E17" s="11" t="n">
        <f aca="false">+YEARFRAC($B$1,D17,1)*IF($B$1&gt;D17,-1,1)</f>
        <v>8.3100091268634</v>
      </c>
      <c r="F17" s="11" t="n">
        <f aca="false">+_xlfn.ORG.LIBREOFFICE.ROUNDSIG(YEARFRAC(D16,D17,1)*$B$8,3)+IF(D17=$B$7,100,0)</f>
        <v>4</v>
      </c>
      <c r="G17" s="12" t="n">
        <f aca="false">+IF(AND($B$1&gt;=D16,$B$1&lt;D17),YEARFRAC($B$1,D16,1)*$B$8,0)</f>
        <v>0</v>
      </c>
      <c r="H17" s="11" t="n">
        <f aca="false">+F17*IF(D17&gt;$B$1,1,0)</f>
        <v>4</v>
      </c>
      <c r="I17" s="18" t="n">
        <f aca="false">+IF($E17&lt;0,0,$H17/(1+I$1/100)^$E17)</f>
        <v>2.15780463573476</v>
      </c>
      <c r="J17" s="18" t="n">
        <f aca="false">+IF($E17&lt;0,0,$H17/(1+J$1/100)^$E17)</f>
        <v>1.99829752591509</v>
      </c>
      <c r="K17" s="0" t="n">
        <f aca="false">+J17*E17/(1+$I$1/100)/$I$36</f>
        <v>0.248854878811286</v>
      </c>
    </row>
    <row r="18" customFormat="false" ht="12.8" hidden="false" customHeight="false" outlineLevel="0" collapsed="false">
      <c r="D18" s="5" t="n">
        <f aca="false">+DATE(YEAR(D17)+1,4,28)</f>
        <v>49427</v>
      </c>
      <c r="E18" s="11" t="n">
        <f aca="false">+YEARFRAC($B$1,D18,1)*IF($B$1&gt;D18,-1,1)</f>
        <v>9.30996714129244</v>
      </c>
      <c r="F18" s="11" t="n">
        <f aca="false">+_xlfn.ORG.LIBREOFFICE.ROUNDSIG(YEARFRAC(D17,D18,1)*$B$8,3)+IF(D18=$B$7,100,0)</f>
        <v>4</v>
      </c>
      <c r="G18" s="12" t="n">
        <f aca="false">+IF(AND($B$1&gt;=D17,$B$1&lt;D18),YEARFRAC($B$1,D17,1)*$B$8,0)</f>
        <v>0</v>
      </c>
      <c r="H18" s="11" t="n">
        <f aca="false">+F18*IF(D18&gt;$B$1,1,0)</f>
        <v>4</v>
      </c>
      <c r="I18" s="18" t="n">
        <f aca="false">+IF($E18&lt;0,0,$H18/(1+I$1/100)^$E18)</f>
        <v>2.00335285912403</v>
      </c>
      <c r="J18" s="18" t="n">
        <f aca="false">+IF($E18&lt;0,0,$H18/(1+J$1/100)^$E18)</f>
        <v>1.83819752800134</v>
      </c>
      <c r="K18" s="0" t="n">
        <f aca="false">+J18*E18/(1+$I$1/100)/$I$36</f>
        <v>0.256463068400107</v>
      </c>
    </row>
    <row r="19" customFormat="false" ht="12.8" hidden="false" customHeight="false" outlineLevel="0" collapsed="false">
      <c r="D19" s="5" t="n">
        <f aca="false">+DATE(YEAR(D18)+1,4,28)</f>
        <v>49793</v>
      </c>
      <c r="E19" s="11" t="n">
        <f aca="false">+YEARFRAC($B$1,D19,1)*IF($B$1&gt;D19,-1,1)</f>
        <v>10.3101045296167</v>
      </c>
      <c r="F19" s="11" t="n">
        <f aca="false">+_xlfn.ORG.LIBREOFFICE.ROUNDSIG(YEARFRAC(D18,D19,1)*$B$8,3)+IF(D19=$B$7,100,0)</f>
        <v>4</v>
      </c>
      <c r="G19" s="12" t="n">
        <f aca="false">+IF(AND($B$1&gt;=D18,$B$1&lt;D19),YEARFRAC($B$1,D18,1)*$B$8,0)</f>
        <v>0</v>
      </c>
      <c r="H19" s="11" t="n">
        <f aca="false">+F19*IF(D19&gt;$B$1,1,0)</f>
        <v>4</v>
      </c>
      <c r="I19" s="18" t="n">
        <f aca="false">+IF($E19&lt;0,0,$H19/(1+I$1/100)^$E19)</f>
        <v>1.85993168390762</v>
      </c>
      <c r="J19" s="18" t="n">
        <f aca="false">+IF($E19&lt;0,0,$H19/(1+J$1/100)^$E19)</f>
        <v>1.69089912337717</v>
      </c>
      <c r="K19" s="0" t="n">
        <f aca="false">+J19*E19/(1+$I$1/100)/$I$36</f>
        <v>0.261255399794286</v>
      </c>
    </row>
    <row r="20" customFormat="false" ht="12.8" hidden="false" customHeight="false" outlineLevel="0" collapsed="false">
      <c r="D20" s="5" t="n">
        <f aca="false">+DATE(YEAR(D19)+1,4,28)</f>
        <v>50158</v>
      </c>
      <c r="E20" s="11" t="n">
        <f aca="false">+YEARFRAC($B$1,D20,1)*IF($B$1&gt;D20,-1,1)</f>
        <v>11.3100616016427</v>
      </c>
      <c r="F20" s="11" t="n">
        <f aca="false">+_xlfn.ORG.LIBREOFFICE.ROUNDSIG(YEARFRAC(D19,D20,1)*$B$8,3)+IF(D20=$B$7,100,0)</f>
        <v>4</v>
      </c>
      <c r="G20" s="12" t="n">
        <f aca="false">+IF(AND($B$1&gt;=D19,$B$1&lt;D20),YEARFRAC($B$1,D19,1)*$B$8,0)</f>
        <v>0</v>
      </c>
      <c r="H20" s="11" t="n">
        <f aca="false">+F20*IF(D20&gt;$B$1,1,0)</f>
        <v>4</v>
      </c>
      <c r="I20" s="18" t="n">
        <f aca="false">+IF($E20&lt;0,0,$H20/(1+I$1/100)^$E20)</f>
        <v>1.72680123855096</v>
      </c>
      <c r="J20" s="18" t="n">
        <f aca="false">+IF($E20&lt;0,0,$H20/(1+J$1/100)^$E20)</f>
        <v>1.5554274541249</v>
      </c>
      <c r="K20" s="0" t="n">
        <f aca="false">+J20*E20/(1+$I$1/100)/$I$36</f>
        <v>0.263632676424318</v>
      </c>
    </row>
    <row r="21" customFormat="false" ht="12.8" hidden="false" customHeight="false" outlineLevel="0" collapsed="false">
      <c r="D21" s="5" t="n">
        <f aca="false">+DATE(YEAR(D20)+1,4,28)</f>
        <v>50523</v>
      </c>
      <c r="E21" s="11" t="n">
        <f aca="false">+YEARFRAC($B$1,D21,1)*IF($B$1&gt;D21,-1,1)</f>
        <v>12.3100252737995</v>
      </c>
      <c r="F21" s="11" t="n">
        <f aca="false">+_xlfn.ORG.LIBREOFFICE.ROUNDSIG(YEARFRAC(D20,D21,1)*$B$8,3)+IF(D21=$B$7,100,0)</f>
        <v>4</v>
      </c>
      <c r="G21" s="12" t="n">
        <f aca="false">+IF(AND($B$1&gt;=D20,$B$1&lt;D21),YEARFRAC($B$1,D20,1)*$B$8,0)</f>
        <v>0</v>
      </c>
      <c r="H21" s="11" t="n">
        <f aca="false">+F21*IF(D21&gt;$B$1,1,0)</f>
        <v>4</v>
      </c>
      <c r="I21" s="18" t="n">
        <f aca="false">+IF($E21&lt;0,0,$H21/(1+I$1/100)^$E21)</f>
        <v>1.603199236586</v>
      </c>
      <c r="J21" s="18" t="n">
        <f aca="false">+IF($E21&lt;0,0,$H21/(1+J$1/100)^$E21)</f>
        <v>1.43080873249486</v>
      </c>
      <c r="K21" s="0" t="n">
        <f aca="false">+J21*E21/(1+$I$1/100)/$I$36</f>
        <v>0.263952047207504</v>
      </c>
    </row>
    <row r="22" customFormat="false" ht="12.8" hidden="false" customHeight="false" outlineLevel="0" collapsed="false">
      <c r="D22" s="5" t="n">
        <f aca="false">+DATE(YEAR(D21)+1,4,28)</f>
        <v>50888</v>
      </c>
      <c r="E22" s="11" t="n">
        <f aca="false">+YEARFRAC($B$1,D22,1)*IF($B$1&gt;D22,-1,1)</f>
        <v>13.3099941326032</v>
      </c>
      <c r="F22" s="11" t="n">
        <f aca="false">+_xlfn.ORG.LIBREOFFICE.ROUNDSIG(YEARFRAC(D21,D22,1)*$B$8,3)+IF(D22=$B$7,100,0)</f>
        <v>4</v>
      </c>
      <c r="G22" s="12" t="n">
        <f aca="false">+IF(AND($B$1&gt;=D21,$B$1&lt;D22),YEARFRAC($B$1,D21,1)*$B$8,0)</f>
        <v>0</v>
      </c>
      <c r="H22" s="11" t="n">
        <f aca="false">+F22*IF(D22&gt;$B$1,1,0)</f>
        <v>4</v>
      </c>
      <c r="I22" s="18" t="n">
        <f aca="false">+IF($E22&lt;0,0,$H22/(1+I$1/100)^$E22)</f>
        <v>1.488443918552</v>
      </c>
      <c r="J22" s="18" t="n">
        <f aca="false">+IF($E22&lt;0,0,$H22/(1+J$1/100)^$E22)</f>
        <v>1.31617372240196</v>
      </c>
      <c r="K22" s="0" t="n">
        <f aca="false">+J22*E22/(1+$I$1/100)/$I$36</f>
        <v>0.262527974543534</v>
      </c>
    </row>
    <row r="23" customFormat="false" ht="12.8" hidden="false" customHeight="false" outlineLevel="0" collapsed="false">
      <c r="D23" s="5" t="n">
        <f aca="false">+DATE(YEAR(D22)+1,4,28)</f>
        <v>51254</v>
      </c>
      <c r="E23" s="11" t="n">
        <f aca="false">+YEARFRAC($B$1,D23,1)*IF($B$1&gt;D23,-1,1)</f>
        <v>14.3100930826793</v>
      </c>
      <c r="F23" s="11" t="n">
        <f aca="false">+_xlfn.ORG.LIBREOFFICE.ROUNDSIG(YEARFRAC(D22,D23,1)*$B$8,3)+IF(D23=$B$7,100,0)</f>
        <v>4</v>
      </c>
      <c r="G23" s="12" t="n">
        <f aca="false">+IF(AND($B$1&gt;=D22,$B$1&lt;D23),YEARFRAC($B$1,D22,1)*$B$8,0)</f>
        <v>0</v>
      </c>
      <c r="H23" s="11" t="n">
        <f aca="false">+F23*IF(D23&gt;$B$1,1,0)</f>
        <v>4</v>
      </c>
      <c r="I23" s="18" t="n">
        <f aca="false">+IF($E23&lt;0,0,$H23/(1+I$1/100)^$E23)</f>
        <v>1.38188931357748</v>
      </c>
      <c r="J23" s="18" t="n">
        <f aca="false">+IF($E23&lt;0,0,$H23/(1+J$1/100)^$E23)</f>
        <v>1.21071000461066</v>
      </c>
      <c r="K23" s="0" t="n">
        <f aca="false">+J23*E23/(1+$I$1/100)/$I$36</f>
        <v>0.259637308240132</v>
      </c>
    </row>
    <row r="24" customFormat="false" ht="12.8" hidden="false" customHeight="false" outlineLevel="0" collapsed="false">
      <c r="D24" s="5" t="n">
        <f aca="false">+DATE(YEAR(D23)+1,4,28)</f>
        <v>51619</v>
      </c>
      <c r="E24" s="11" t="n">
        <f aca="false">+YEARFRAC($B$1,D24,1)*IF($B$1&gt;D24,-1,1)</f>
        <v>15.3100616016427</v>
      </c>
      <c r="F24" s="11" t="n">
        <f aca="false">+_xlfn.ORG.LIBREOFFICE.ROUNDSIG(YEARFRAC(D23,D24,1)*$B$8,3)+IF(D24=$B$7,100,0)</f>
        <v>4</v>
      </c>
      <c r="G24" s="12" t="n">
        <f aca="false">+IF(AND($B$1&gt;=D23,$B$1&lt;D24),YEARFRAC($B$1,D23,1)*$B$8,0)</f>
        <v>0</v>
      </c>
      <c r="H24" s="11" t="n">
        <f aca="false">+F24*IF(D24&gt;$B$1,1,0)</f>
        <v>4</v>
      </c>
      <c r="I24" s="18" t="n">
        <f aca="false">+IF($E24&lt;0,0,$H24/(1+I$1/100)^$E24)</f>
        <v>1.2829751598455</v>
      </c>
      <c r="J24" s="18" t="n">
        <f aca="false">+IF($E24&lt;0,0,$H24/(1+J$1/100)^$E24)</f>
        <v>1.11370912306697</v>
      </c>
      <c r="K24" s="0" t="n">
        <f aca="false">+J24*E24/(1+$I$1/100)/$I$36</f>
        <v>0.255524897915774</v>
      </c>
    </row>
    <row r="25" customFormat="false" ht="12.8" hidden="false" customHeight="false" outlineLevel="0" collapsed="false">
      <c r="D25" s="5" t="n">
        <f aca="false">+DATE(YEAR(D24)+1,4,28)</f>
        <v>51984</v>
      </c>
      <c r="E25" s="11" t="n">
        <f aca="false">+YEARFRAC($B$1,D25,1)*IF($B$1&gt;D25,-1,1)</f>
        <v>16.3100338218715</v>
      </c>
      <c r="F25" s="11" t="n">
        <f aca="false">+_xlfn.ORG.LIBREOFFICE.ROUNDSIG(YEARFRAC(D24,D25,1)*$B$8,3)+IF(D25=$B$7,100,0)</f>
        <v>4</v>
      </c>
      <c r="G25" s="12" t="n">
        <f aca="false">+IF(AND($B$1&gt;=D24,$B$1&lt;D25),YEARFRAC($B$1,D24,1)*$B$8,0)</f>
        <v>0</v>
      </c>
      <c r="H25" s="11" t="n">
        <f aca="false">+F25*IF(D25&gt;$B$1,1,0)</f>
        <v>4</v>
      </c>
      <c r="I25" s="18" t="n">
        <f aca="false">+IF($E25&lt;0,0,$H25/(1+I$1/100)^$E25)</f>
        <v>1.19114084761601</v>
      </c>
      <c r="J25" s="18" t="n">
        <f aca="false">+IF($E25&lt;0,0,$H25/(1+J$1/100)^$E25)</f>
        <v>1.02447953901441</v>
      </c>
      <c r="K25" s="0" t="n">
        <f aca="false">+J25*E25/(1+$I$1/100)/$I$36</f>
        <v>0.250404805292068</v>
      </c>
    </row>
    <row r="26" customFormat="false" ht="12.8" hidden="false" customHeight="false" outlineLevel="0" collapsed="false">
      <c r="D26" s="5" t="n">
        <f aca="false">+DATE(YEAR(D25)+1,4,28)</f>
        <v>52349</v>
      </c>
      <c r="E26" s="11" t="n">
        <f aca="false">+YEARFRAC($B$1,D26,1)*IF($B$1&gt;D26,-1,1)</f>
        <v>17.3100091268634</v>
      </c>
      <c r="F26" s="11" t="n">
        <f aca="false">+_xlfn.ORG.LIBREOFFICE.ROUNDSIG(YEARFRAC(D25,D26,1)*$B$8,3)+IF(D26=$B$7,100,0)</f>
        <v>4</v>
      </c>
      <c r="G26" s="12" t="n">
        <f aca="false">+IF(AND($B$1&gt;=D25,$B$1&lt;D26),YEARFRAC($B$1,D25,1)*$B$8,0)</f>
        <v>0</v>
      </c>
      <c r="H26" s="11" t="n">
        <f aca="false">+F26*IF(D26&gt;$B$1,1,0)</f>
        <v>4</v>
      </c>
      <c r="I26" s="18" t="n">
        <f aca="false">+IF($E26&lt;0,0,$H26/(1+I$1/100)^$E26)</f>
        <v>1.1058797069477</v>
      </c>
      <c r="J26" s="18" t="n">
        <f aca="false">+IF($E26&lt;0,0,$H26/(1+J$1/100)^$E26)</f>
        <v>0.942398723090294</v>
      </c>
      <c r="K26" s="0" t="n">
        <f aca="false">+J26*E26/(1+$I$1/100)/$I$36</f>
        <v>0.244464889597253</v>
      </c>
    </row>
    <row r="27" customFormat="false" ht="12.8" hidden="false" customHeight="false" outlineLevel="0" collapsed="false">
      <c r="D27" s="5" t="n">
        <f aca="false">+DATE(YEAR(D26)+1,4,28)</f>
        <v>52715</v>
      </c>
      <c r="E27" s="11" t="n">
        <f aca="false">+YEARFRAC($B$1,D27,1)*IF($B$1&gt;D27,-1,1)</f>
        <v>18.3100864553314</v>
      </c>
      <c r="F27" s="11" t="n">
        <f aca="false">+_xlfn.ORG.LIBREOFFICE.ROUNDSIG(YEARFRAC(D26,D27,1)*$B$8,3)+IF(D27=$B$7,100,0)</f>
        <v>4</v>
      </c>
      <c r="G27" s="12" t="n">
        <f aca="false">+IF(AND($B$1&gt;=D26,$B$1&lt;D27),YEARFRAC($B$1,D26,1)*$B$8,0)</f>
        <v>0</v>
      </c>
      <c r="H27" s="11" t="n">
        <f aca="false">+F27*IF(D27&gt;$B$1,1,0)</f>
        <v>4</v>
      </c>
      <c r="I27" s="18" t="n">
        <f aca="false">+IF($E27&lt;0,0,$H27/(1+I$1/100)^$E27)</f>
        <v>1.02671372713946</v>
      </c>
      <c r="J27" s="18" t="n">
        <f aca="false">+IF($E27&lt;0,0,$H27/(1+J$1/100)^$E27)</f>
        <v>0.866886797092269</v>
      </c>
      <c r="K27" s="0" t="n">
        <f aca="false">+J27*E27/(1+$I$1/100)/$I$36</f>
        <v>0.237868695904534</v>
      </c>
    </row>
    <row r="28" customFormat="false" ht="12.8" hidden="false" customHeight="false" outlineLevel="0" collapsed="false">
      <c r="D28" s="5" t="n">
        <f aca="false">+DATE(YEAR(D27)+1,4,28)</f>
        <v>53080</v>
      </c>
      <c r="E28" s="11" t="n">
        <f aca="false">+YEARFRAC($B$1,D28,1)*IF($B$1&gt;D28,-1,1)</f>
        <v>19.3100616016427</v>
      </c>
      <c r="F28" s="11" t="n">
        <f aca="false">+_xlfn.ORG.LIBREOFFICE.ROUNDSIG(YEARFRAC(D27,D28,1)*$B$8,3)+IF(D28=$B$7,100,0)</f>
        <v>4</v>
      </c>
      <c r="G28" s="12" t="n">
        <f aca="false">+IF(AND($B$1&gt;=D27,$B$1&lt;D28),YEARFRAC($B$1,D27,1)*$B$8,0)</f>
        <v>0</v>
      </c>
      <c r="H28" s="11" t="n">
        <f aca="false">+F28*IF(D28&gt;$B$1,1,0)</f>
        <v>4</v>
      </c>
      <c r="I28" s="18" t="n">
        <f aca="false">+IF($E28&lt;0,0,$H28/(1+I$1/100)^$E28)</f>
        <v>0.953222191432895</v>
      </c>
      <c r="J28" s="18" t="n">
        <f aca="false">+IF($E28&lt;0,0,$H28/(1+J$1/100)^$E28)</f>
        <v>0.797432247652098</v>
      </c>
      <c r="K28" s="0" t="n">
        <f aca="false">+J28*E28/(1+$I$1/100)/$I$36</f>
        <v>0.230760760517412</v>
      </c>
    </row>
    <row r="29" customFormat="false" ht="12.8" hidden="false" customHeight="false" outlineLevel="0" collapsed="false">
      <c r="D29" s="5" t="n">
        <f aca="false">+DATE(YEAR(D28)+1,4,28)</f>
        <v>53445</v>
      </c>
      <c r="E29" s="11" t="n">
        <f aca="false">+YEARFRAC($B$1,D29,1)*IF($B$1&gt;D29,-1,1)</f>
        <v>20.3100391134289</v>
      </c>
      <c r="F29" s="11" t="n">
        <f aca="false">+_xlfn.ORG.LIBREOFFICE.ROUNDSIG(YEARFRAC(D28,D29,1)*$B$8,3)+IF(D29=$B$7,100,0)</f>
        <v>4</v>
      </c>
      <c r="G29" s="12" t="n">
        <f aca="false">+IF(AND($B$1&gt;=D28,$B$1&lt;D29),YEARFRAC($B$1,D28,1)*$B$8,0)</f>
        <v>0</v>
      </c>
      <c r="H29" s="11" t="n">
        <f aca="false">+F29*IF(D29&gt;$B$1,1,0)</f>
        <v>4</v>
      </c>
      <c r="I29" s="18" t="n">
        <f aca="false">+IF($E29&lt;0,0,$H29/(1+I$1/100)^$E29)</f>
        <v>0.884990979067583</v>
      </c>
      <c r="J29" s="18" t="n">
        <f aca="false">+IF($E29&lt;0,0,$H29/(1+J$1/100)^$E29)</f>
        <v>0.733542218092574</v>
      </c>
      <c r="K29" s="0" t="n">
        <f aca="false">+J29*E29/(1+$I$1/100)/$I$36</f>
        <v>0.223264864036003</v>
      </c>
    </row>
    <row r="30" customFormat="false" ht="12.8" hidden="false" customHeight="false" outlineLevel="0" collapsed="false">
      <c r="D30" s="5" t="n">
        <f aca="false">+DATE(YEAR(D29)+1,4,28)</f>
        <v>53810</v>
      </c>
      <c r="E30" s="11" t="n">
        <f aca="false">+YEARFRAC($B$1,D30,1)*IF($B$1&gt;D30,-1,1)</f>
        <v>21.3100186683261</v>
      </c>
      <c r="F30" s="11" t="n">
        <f aca="false">+_xlfn.ORG.LIBREOFFICE.ROUNDSIG(YEARFRAC(D29,D30,1)*$B$8,3)+IF(D30=$B$7,100,0)</f>
        <v>4</v>
      </c>
      <c r="G30" s="12" t="n">
        <f aca="false">+IF(AND($B$1&gt;=D29,$B$1&lt;D30),YEARFRAC($B$1,D29,1)*$B$8,0)</f>
        <v>0</v>
      </c>
      <c r="H30" s="11" t="n">
        <f aca="false">+F30*IF(D30&gt;$B$1,1,0)</f>
        <v>4</v>
      </c>
      <c r="I30" s="18" t="n">
        <f aca="false">+IF($E30&lt;0,0,$H30/(1+I$1/100)^$E30)</f>
        <v>0.821643601272545</v>
      </c>
      <c r="J30" s="18" t="n">
        <f aca="false">+IF($E30&lt;0,0,$H30/(1+J$1/100)^$E30)</f>
        <v>0.674770923168072</v>
      </c>
      <c r="K30" s="0" t="n">
        <f aca="false">+J30*E30/(1+$I$1/100)/$I$36</f>
        <v>0.215488797777025</v>
      </c>
    </row>
    <row r="31" customFormat="false" ht="12.8" hidden="false" customHeight="false" outlineLevel="0" collapsed="false">
      <c r="D31" s="5" t="n">
        <f aca="false">+DATE(YEAR(D30)+1,4,28)</f>
        <v>54176</v>
      </c>
      <c r="E31" s="11" t="n">
        <f aca="false">+YEARFRAC($B$1,D31,1)*IF($B$1&gt;D31,-1,1)</f>
        <v>22.3100821330794</v>
      </c>
      <c r="F31" s="11" t="n">
        <f aca="false">+_xlfn.ORG.LIBREOFFICE.ROUNDSIG(YEARFRAC(D30,D31,1)*$B$8,3)+IF(D31=$B$7,100,0)</f>
        <v>4</v>
      </c>
      <c r="G31" s="12" t="n">
        <f aca="false">+IF(AND($B$1&gt;=D30,$B$1&lt;D31),YEARFRAC($B$1,D30,1)*$B$8,0)</f>
        <v>0</v>
      </c>
      <c r="H31" s="11" t="n">
        <f aca="false">+F31*IF(D31&gt;$B$1,1,0)</f>
        <v>4</v>
      </c>
      <c r="I31" s="18" t="n">
        <f aca="false">+IF($E31&lt;0,0,$H31/(1+I$1/100)^$E31)</f>
        <v>0.762825854911477</v>
      </c>
      <c r="J31" s="18" t="n">
        <f aca="false">+IF($E31&lt;0,0,$H31/(1+J$1/100)^$E31)</f>
        <v>0.620704026103321</v>
      </c>
      <c r="K31" s="0" t="n">
        <f aca="false">+J31*E31/(1+$I$1/100)/$I$36</f>
        <v>0.207524912573667</v>
      </c>
    </row>
    <row r="32" customFormat="false" ht="12.8" hidden="false" customHeight="false" outlineLevel="0" collapsed="false">
      <c r="D32" s="5" t="n">
        <f aca="false">+DATE(YEAR(D31)+1,4,28)</f>
        <v>54541</v>
      </c>
      <c r="E32" s="11" t="n">
        <f aca="false">+YEARFRAC($B$1,D32,1)*IF($B$1&gt;D32,-1,1)</f>
        <v>23.3100616016427</v>
      </c>
      <c r="F32" s="11" t="n">
        <f aca="false">+_xlfn.ORG.LIBREOFFICE.ROUNDSIG(YEARFRAC(D31,D32,1)*$B$8,3)+IF(D32=$B$7,100,0)</f>
        <v>4</v>
      </c>
      <c r="G32" s="12" t="n">
        <f aca="false">+IF(AND($B$1&gt;=D31,$B$1&lt;D32),YEARFRAC($B$1,D31,1)*$B$8,0)</f>
        <v>0</v>
      </c>
      <c r="H32" s="11" t="n">
        <f aca="false">+F32*IF(D32&gt;$B$1,1,0)</f>
        <v>4</v>
      </c>
      <c r="I32" s="18" t="n">
        <f aca="false">+IF($E32&lt;0,0,$H32/(1+I$1/100)^$E32)</f>
        <v>0.70822302307829</v>
      </c>
      <c r="J32" s="18" t="n">
        <f aca="false">+IF($E32&lt;0,0,$H32/(1+J$1/100)^$E32)</f>
        <v>0.570973314687698</v>
      </c>
      <c r="K32" s="0" t="n">
        <f aca="false">+J32*E32/(1+$I$1/100)/$I$36</f>
        <v>0.199454454767048</v>
      </c>
    </row>
    <row r="33" customFormat="false" ht="12.8" hidden="false" customHeight="false" outlineLevel="0" collapsed="false">
      <c r="D33" s="5" t="n">
        <f aca="false">+DATE(YEAR(D32)+1,4,28)</f>
        <v>54906</v>
      </c>
      <c r="E33" s="11" t="n">
        <f aca="false">+YEARFRAC($B$1,D33,1)*IF($B$1&gt;D33,-1,1)</f>
        <v>24.3100427116417</v>
      </c>
      <c r="F33" s="11" t="n">
        <f aca="false">+_xlfn.ORG.LIBREOFFICE.ROUNDSIG(YEARFRAC(D32,D33,1)*$B$8,3)+IF(D33=$B$7,100,0)</f>
        <v>4</v>
      </c>
      <c r="G33" s="12" t="n">
        <f aca="false">+IF(AND($B$1&gt;=D32,$B$1&lt;D33),YEARFRAC($B$1,D32,1)*$B$8,0)</f>
        <v>0</v>
      </c>
      <c r="H33" s="11" t="n">
        <f aca="false">+F33*IF(D33&gt;$B$1,1,0)</f>
        <v>4</v>
      </c>
      <c r="I33" s="18" t="n">
        <f aca="false">+IF($E33&lt;0,0,$H33/(1+I$1/100)^$E33)</f>
        <v>0.657528564402426</v>
      </c>
      <c r="J33" s="18" t="n">
        <f aca="false">+IF($E33&lt;0,0,$H33/(1+J$1/100)^$E33)</f>
        <v>0.525226948247558</v>
      </c>
      <c r="K33" s="0" t="n">
        <f aca="false">+J33*E33/(1+$I$1/100)/$I$36</f>
        <v>0.191345049525448</v>
      </c>
    </row>
    <row r="34" customFormat="false" ht="12.8" hidden="false" customHeight="false" outlineLevel="0" collapsed="false">
      <c r="D34" s="5" t="n">
        <f aca="false">+DATE(YEAR(D33)+1,4,28)</f>
        <v>55271</v>
      </c>
      <c r="E34" s="11" t="n">
        <f aca="false">+YEARFRAC($B$1,D34,1)*IF($B$1&gt;D34,-1,1)</f>
        <v>25.3100252737995</v>
      </c>
      <c r="F34" s="11" t="n">
        <f aca="false">+_xlfn.ORG.LIBREOFFICE.ROUNDSIG(YEARFRAC(D33,D34,1)*$B$8,3)+IF(D34=$B$7,100,0)</f>
        <v>104</v>
      </c>
      <c r="G34" s="12" t="n">
        <f aca="false">+IF(AND($B$1&gt;=D33,$B$1&lt;D34),YEARFRAC($B$1,D33,1)*$B$8,0)</f>
        <v>0</v>
      </c>
      <c r="H34" s="11" t="n">
        <f aca="false">+F34*IF(D34&gt;$B$1,1,0)</f>
        <v>104</v>
      </c>
      <c r="I34" s="18" t="n">
        <f aca="false">+IF($E34&lt;0,0,$H34/(1+I$1/100)^$E34)</f>
        <v>15.8720312097194</v>
      </c>
      <c r="J34" s="18" t="n">
        <f aca="false">+IF($E34&lt;0,0,$H34/(1+J$1/100)^$E34)</f>
        <v>12.5617887420641</v>
      </c>
      <c r="K34" s="0" t="n">
        <f aca="false">+J34*E34/(1+$I$1/100)/$I$36</f>
        <v>4.76462332293489</v>
      </c>
    </row>
    <row r="35" customFormat="false" ht="12.8" hidden="false" customHeight="false" outlineLevel="0" collapsed="false">
      <c r="D35" s="5"/>
      <c r="I35" s="0" t="s">
        <v>21</v>
      </c>
      <c r="J35" s="0" t="s">
        <v>21</v>
      </c>
      <c r="K35" s="0" t="s">
        <v>25</v>
      </c>
    </row>
    <row r="36" customFormat="false" ht="12.8" hidden="false" customHeight="false" outlineLevel="0" collapsed="false">
      <c r="D36" s="5"/>
      <c r="I36" s="21" t="n">
        <f aca="false">SUM(I4:I34)</f>
        <v>61.9525898221541</v>
      </c>
      <c r="J36" s="21" t="n">
        <f aca="false">SUM(J4:J34)</f>
        <v>55.1800297528948</v>
      </c>
      <c r="K36" s="0" t="n">
        <f aca="false">+SUM(K4:K34)</f>
        <v>10.0360218076059</v>
      </c>
    </row>
    <row r="37" customFormat="false" ht="12.8" hidden="false" customHeight="false" outlineLevel="0" collapsed="false">
      <c r="D37" s="5"/>
      <c r="I37" s="0" t="s">
        <v>22</v>
      </c>
      <c r="J37" s="16" t="n">
        <f aca="false">+(J36-I36)/I36</f>
        <v>-0.109318433477939</v>
      </c>
    </row>
    <row r="38" customFormat="false" ht="12.8" hidden="false" customHeight="false" outlineLevel="0" collapsed="false">
      <c r="D38" s="5"/>
    </row>
  </sheetData>
  <hyperlinks>
    <hyperlink ref="A3" r:id="rId1" display="https://akk.hu/security/id=A510428G2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Roman,Normál"&amp;12&amp;A</oddHeader>
    <oddFooter>&amp;C&amp;"Times New Roman,Normál"&amp;12Oldal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2026-03-10T21:20:52Z</dcterms:created>
  <dc:creator/>
  <dc:description/>
  <dc:language>hu-HU</dc:language>
  <cp:lastModifiedBy/>
  <dcterms:modified xsi:type="dcterms:W3CDTF">2026-03-10T22:26:49Z</dcterms:modified>
  <cp:revision>1</cp:revision>
  <dc:subject/>
  <dc:title/>
</cp:coreProperties>
</file>